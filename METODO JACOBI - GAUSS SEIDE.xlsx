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ramirezg\Downloads\"/>
    </mc:Choice>
  </mc:AlternateContent>
  <xr:revisionPtr revIDLastSave="0" documentId="13_ncr:1_{2400277A-BE74-4267-B898-188F0479D17A}" xr6:coauthVersionLast="47" xr6:coauthVersionMax="47" xr10:uidLastSave="{00000000-0000-0000-0000-000000000000}"/>
  <bookViews>
    <workbookView xWindow="12216" yWindow="2988" windowWidth="11160" windowHeight="9960" activeTab="1" xr2:uid="{268DE45A-1E50-468A-82B6-53B3265F04F6}"/>
  </bookViews>
  <sheets>
    <sheet name="JACOBI" sheetId="1" r:id="rId1"/>
    <sheet name="GAUSS-SEI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2" l="1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I12" i="2"/>
  <c r="J12" i="2"/>
  <c r="H12" i="2"/>
  <c r="E23" i="2"/>
  <c r="E18" i="2"/>
  <c r="F18" i="2"/>
  <c r="G18" i="2" s="1"/>
  <c r="E17" i="2"/>
  <c r="G17" i="2" s="1"/>
  <c r="F17" i="2"/>
  <c r="E13" i="2"/>
  <c r="G13" i="2" s="1"/>
  <c r="F13" i="2"/>
  <c r="E14" i="2" s="1"/>
  <c r="G12" i="2"/>
  <c r="F12" i="2"/>
  <c r="E12" i="2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J12" i="1"/>
  <c r="K12" i="1"/>
  <c r="I12" i="1"/>
  <c r="F26" i="1"/>
  <c r="H27" i="1" s="1"/>
  <c r="G26" i="1"/>
  <c r="F27" i="1" s="1"/>
  <c r="H26" i="1"/>
  <c r="F18" i="1"/>
  <c r="G18" i="1"/>
  <c r="H18" i="1"/>
  <c r="F19" i="1"/>
  <c r="G19" i="1"/>
  <c r="H19" i="1"/>
  <c r="F20" i="1"/>
  <c r="G20" i="1"/>
  <c r="H20" i="1"/>
  <c r="F21" i="1"/>
  <c r="G22" i="1" s="1"/>
  <c r="G21" i="1"/>
  <c r="F22" i="1" s="1"/>
  <c r="H21" i="1"/>
  <c r="F17" i="1"/>
  <c r="G17" i="1"/>
  <c r="H17" i="1"/>
  <c r="F13" i="1"/>
  <c r="G13" i="1"/>
  <c r="F14" i="1" s="1"/>
  <c r="H13" i="1"/>
  <c r="G14" i="1"/>
  <c r="H12" i="1"/>
  <c r="G12" i="1"/>
  <c r="F12" i="1"/>
  <c r="F23" i="2" l="1"/>
  <c r="E19" i="2"/>
  <c r="F14" i="2"/>
  <c r="G28" i="1"/>
  <c r="H28" i="1"/>
  <c r="G27" i="1"/>
  <c r="F28" i="1" s="1"/>
  <c r="H23" i="1"/>
  <c r="H22" i="1"/>
  <c r="F23" i="1" s="1"/>
  <c r="F15" i="1"/>
  <c r="H15" i="1"/>
  <c r="H14" i="1"/>
  <c r="G15" i="1" s="1"/>
  <c r="F16" i="1" s="1"/>
  <c r="G23" i="2" l="1"/>
  <c r="E24" i="2" s="1"/>
  <c r="F19" i="2"/>
  <c r="G19" i="2"/>
  <c r="G14" i="2"/>
  <c r="E15" i="2" s="1"/>
  <c r="G29" i="1"/>
  <c r="H29" i="1"/>
  <c r="F29" i="1"/>
  <c r="G24" i="1"/>
  <c r="H24" i="1"/>
  <c r="G23" i="1"/>
  <c r="F24" i="1" s="1"/>
  <c r="G16" i="1"/>
  <c r="H16" i="1"/>
  <c r="F24" i="2" l="1"/>
  <c r="G24" i="2"/>
  <c r="E20" i="2"/>
  <c r="F15" i="2"/>
  <c r="F25" i="1"/>
  <c r="G25" i="1"/>
  <c r="H25" i="1"/>
  <c r="E25" i="2" l="1"/>
  <c r="F20" i="2"/>
  <c r="E16" i="2"/>
  <c r="G15" i="2"/>
  <c r="F25" i="2" l="1"/>
  <c r="G25" i="2"/>
  <c r="E21" i="2"/>
  <c r="G20" i="2"/>
  <c r="F16" i="2"/>
  <c r="G16" i="2" s="1"/>
  <c r="F21" i="2" l="1"/>
  <c r="G21" i="2" s="1"/>
  <c r="E22" i="2" l="1"/>
  <c r="F22" i="2" l="1"/>
  <c r="G22" i="2"/>
</calcChain>
</file>

<file path=xl/sharedStrings.xml><?xml version="1.0" encoding="utf-8"?>
<sst xmlns="http://schemas.openxmlformats.org/spreadsheetml/2006/main" count="30" uniqueCount="19">
  <si>
    <t>Despejando:</t>
  </si>
  <si>
    <t>X =</t>
  </si>
  <si>
    <t>1 + y + z</t>
  </si>
  <si>
    <t>Y=</t>
  </si>
  <si>
    <t>3 + x - z</t>
  </si>
  <si>
    <t>Z=</t>
  </si>
  <si>
    <t>7 - 2x - y</t>
  </si>
  <si>
    <t>Iteracciones</t>
  </si>
  <si>
    <t>X</t>
  </si>
  <si>
    <t>Y</t>
  </si>
  <si>
    <t>Z</t>
  </si>
  <si>
    <t>X= 1</t>
  </si>
  <si>
    <t>Y= 1</t>
  </si>
  <si>
    <t>Z= 1</t>
  </si>
  <si>
    <t>Error X</t>
  </si>
  <si>
    <t>Error Y</t>
  </si>
  <si>
    <t>Error Z</t>
  </si>
  <si>
    <t>X=</t>
  </si>
  <si>
    <t>7 - 2 x 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</si>
</sst>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350756</xdr:colOff>
      <xdr:row>7</xdr:row>
      <xdr:rowOff>30594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2BE0D-78F2-9C49-F2FB-B94C4EA8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28196" cy="1310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350756</xdr:colOff>
      <xdr:row>7</xdr:row>
      <xdr:rowOff>30594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8426D7-91BE-4F42-828D-1C50EEEF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28196" cy="1310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AC2C-6A14-41ED-B95A-35188AD17D81}">
  <dimension ref="A10:L30"/>
  <sheetViews>
    <sheetView topLeftCell="A2" workbookViewId="0">
      <selection activeCell="C34" sqref="C34"/>
    </sheetView>
  </sheetViews>
  <sheetFormatPr baseColWidth="10" defaultRowHeight="14.4" x14ac:dyDescent="0.3"/>
  <cols>
    <col min="9" max="11" width="12" bestFit="1" customWidth="1"/>
  </cols>
  <sheetData>
    <row r="10" spans="1:11" x14ac:dyDescent="0.3">
      <c r="A10" t="s">
        <v>0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14</v>
      </c>
      <c r="J10" s="4" t="s">
        <v>15</v>
      </c>
      <c r="K10" s="4" t="s">
        <v>16</v>
      </c>
    </row>
    <row r="11" spans="1:11" x14ac:dyDescent="0.3">
      <c r="E11" s="1">
        <v>0</v>
      </c>
      <c r="F11" s="1">
        <v>0</v>
      </c>
      <c r="G11" s="1">
        <v>0</v>
      </c>
      <c r="H11" s="1">
        <v>0</v>
      </c>
    </row>
    <row r="12" spans="1:11" x14ac:dyDescent="0.3">
      <c r="A12" s="2" t="s">
        <v>1</v>
      </c>
      <c r="B12" s="3" t="s">
        <v>2</v>
      </c>
      <c r="E12" s="1">
        <v>1</v>
      </c>
      <c r="F12" s="1">
        <f>(1+G11+H11)/3</f>
        <v>0.33333333333333331</v>
      </c>
      <c r="G12" s="1">
        <f>(3+F11-H11)/3</f>
        <v>1</v>
      </c>
      <c r="H12" s="1">
        <f>(7-2*F11-G11)/4</f>
        <v>1.75</v>
      </c>
      <c r="I12">
        <f>ABS((F12-F11)/F12)</f>
        <v>1</v>
      </c>
      <c r="J12">
        <f t="shared" ref="J12:K12" si="0">ABS((G12-G11)/G12)</f>
        <v>1</v>
      </c>
      <c r="K12">
        <f t="shared" si="0"/>
        <v>1</v>
      </c>
    </row>
    <row r="13" spans="1:11" x14ac:dyDescent="0.3">
      <c r="B13" s="1">
        <v>3</v>
      </c>
      <c r="E13" s="1">
        <v>2</v>
      </c>
      <c r="F13" s="1">
        <f t="shared" ref="F13:F16" si="1">(1+G12+H12)/3</f>
        <v>1.25</v>
      </c>
      <c r="G13" s="1">
        <f t="shared" ref="G13:G16" si="2">(3+F12-H12)/3</f>
        <v>0.52777777777777779</v>
      </c>
      <c r="H13" s="1">
        <f t="shared" ref="H13:H16" si="3">(7-2*F12-G12)/4</f>
        <v>1.3333333333333333</v>
      </c>
      <c r="I13">
        <f t="shared" ref="I13:I29" si="4">ABS((F13-F12)/F13)</f>
        <v>0.73333333333333339</v>
      </c>
      <c r="J13">
        <f t="shared" ref="J13:J29" si="5">ABS((G13-G12)/G13)</f>
        <v>0.89473684210526316</v>
      </c>
      <c r="K13">
        <f t="shared" ref="K13:K29" si="6">ABS((H13-H12)/H13)</f>
        <v>0.31250000000000006</v>
      </c>
    </row>
    <row r="14" spans="1:11" x14ac:dyDescent="0.3">
      <c r="E14" s="1">
        <v>3</v>
      </c>
      <c r="F14" s="1">
        <f t="shared" si="1"/>
        <v>0.95370370370370361</v>
      </c>
      <c r="G14" s="1">
        <f t="shared" si="2"/>
        <v>0.97222222222222232</v>
      </c>
      <c r="H14" s="1">
        <f t="shared" si="3"/>
        <v>0.99305555555555558</v>
      </c>
      <c r="I14">
        <f t="shared" si="4"/>
        <v>0.31067961165048558</v>
      </c>
      <c r="J14">
        <f t="shared" si="5"/>
        <v>0.45714285714285718</v>
      </c>
      <c r="K14">
        <f t="shared" si="6"/>
        <v>0.34265734265734255</v>
      </c>
    </row>
    <row r="15" spans="1:11" x14ac:dyDescent="0.3">
      <c r="A15" s="2" t="s">
        <v>3</v>
      </c>
      <c r="B15" s="3" t="s">
        <v>4</v>
      </c>
      <c r="E15" s="1">
        <v>4</v>
      </c>
      <c r="F15" s="1">
        <f t="shared" si="1"/>
        <v>0.98842592592592593</v>
      </c>
      <c r="G15" s="1">
        <f t="shared" si="2"/>
        <v>0.9868827160493826</v>
      </c>
      <c r="H15" s="1">
        <f t="shared" si="3"/>
        <v>1.0300925925925926</v>
      </c>
      <c r="I15">
        <f t="shared" si="4"/>
        <v>3.5128805620609001E-2</v>
      </c>
      <c r="J15">
        <f t="shared" si="5"/>
        <v>1.4855355746676877E-2</v>
      </c>
      <c r="K15">
        <f t="shared" si="6"/>
        <v>3.5955056179775229E-2</v>
      </c>
    </row>
    <row r="16" spans="1:11" x14ac:dyDescent="0.3">
      <c r="B16" s="1">
        <v>3</v>
      </c>
      <c r="E16" s="1">
        <v>5</v>
      </c>
      <c r="F16" s="1">
        <f t="shared" si="1"/>
        <v>1.0056584362139918</v>
      </c>
      <c r="G16" s="1">
        <f t="shared" si="2"/>
        <v>0.98611111111111116</v>
      </c>
      <c r="H16" s="1">
        <f t="shared" si="3"/>
        <v>1.0090663580246912</v>
      </c>
      <c r="I16">
        <f t="shared" si="4"/>
        <v>1.7135549872122745E-2</v>
      </c>
      <c r="J16">
        <f t="shared" si="5"/>
        <v>7.8247261345836352E-4</v>
      </c>
      <c r="K16">
        <f t="shared" si="6"/>
        <v>2.0837316000764754E-2</v>
      </c>
    </row>
    <row r="17" spans="1:12" x14ac:dyDescent="0.3">
      <c r="E17" s="1">
        <v>6</v>
      </c>
      <c r="F17" s="5">
        <f>(1+G16+H16)/3</f>
        <v>0.99839248971193406</v>
      </c>
      <c r="G17" s="5">
        <f>(3+F16-H16)/3</f>
        <v>0.99886402606309999</v>
      </c>
      <c r="H17" s="5">
        <f>(7-2*F16-G16)/4</f>
        <v>1.0006430041152266</v>
      </c>
      <c r="I17">
        <f t="shared" si="4"/>
        <v>7.2776453918980679E-3</v>
      </c>
      <c r="J17">
        <f t="shared" si="5"/>
        <v>1.2767418406540153E-2</v>
      </c>
      <c r="K17">
        <f t="shared" si="6"/>
        <v>8.4179411386707918E-3</v>
      </c>
    </row>
    <row r="18" spans="1:12" x14ac:dyDescent="0.3">
      <c r="A18" s="2" t="s">
        <v>5</v>
      </c>
      <c r="B18" s="3" t="s">
        <v>6</v>
      </c>
      <c r="E18" s="1">
        <v>7</v>
      </c>
      <c r="F18" s="1">
        <f t="shared" ref="F18:F25" si="7">(1+G17+H17)/3</f>
        <v>0.99983567672610885</v>
      </c>
      <c r="G18" s="1">
        <f t="shared" ref="G18:G30" si="8">(3+F17-H17)/3</f>
        <v>0.99924982853223587</v>
      </c>
      <c r="H18" s="1">
        <f t="shared" ref="H18:H25" si="9">(7-2*F17-G17)/4</f>
        <v>1.0010877486282579</v>
      </c>
      <c r="I18">
        <f t="shared" si="4"/>
        <v>1.4434242023653313E-3</v>
      </c>
      <c r="J18">
        <f t="shared" si="5"/>
        <v>3.8609210441654978E-4</v>
      </c>
      <c r="K18">
        <f t="shared" si="6"/>
        <v>4.4426126844599633E-4</v>
      </c>
    </row>
    <row r="19" spans="1:12" x14ac:dyDescent="0.3">
      <c r="B19" s="1">
        <v>4</v>
      </c>
      <c r="E19" s="1">
        <v>8</v>
      </c>
      <c r="F19" s="1">
        <f t="shared" si="7"/>
        <v>1.0001125257201646</v>
      </c>
      <c r="G19" s="1">
        <f t="shared" si="8"/>
        <v>0.99958264269928365</v>
      </c>
      <c r="H19" s="1">
        <f t="shared" si="9"/>
        <v>1.0002697045038866</v>
      </c>
      <c r="I19">
        <f t="shared" si="4"/>
        <v>2.7681784492842335E-4</v>
      </c>
      <c r="J19">
        <f t="shared" si="5"/>
        <v>3.329531274663235E-4</v>
      </c>
      <c r="K19">
        <f t="shared" si="6"/>
        <v>8.1782355367544248E-4</v>
      </c>
    </row>
    <row r="20" spans="1:12" x14ac:dyDescent="0.3">
      <c r="E20" s="1">
        <v>9</v>
      </c>
      <c r="F20" s="1">
        <f t="shared" si="7"/>
        <v>0.99995078240105684</v>
      </c>
      <c r="G20" s="1">
        <f t="shared" si="8"/>
        <v>0.99994760707209274</v>
      </c>
      <c r="H20" s="1">
        <f t="shared" si="9"/>
        <v>1.0000480764650967</v>
      </c>
      <c r="I20">
        <f t="shared" si="4"/>
        <v>1.6175128011742108E-4</v>
      </c>
      <c r="J20">
        <f t="shared" si="5"/>
        <v>3.6498349536304446E-4</v>
      </c>
      <c r="K20">
        <f t="shared" si="6"/>
        <v>2.2161738420945268E-4</v>
      </c>
    </row>
    <row r="21" spans="1:12" x14ac:dyDescent="0.3">
      <c r="E21" s="1">
        <v>10</v>
      </c>
      <c r="F21" s="1">
        <f t="shared" si="7"/>
        <v>0.99999856117906327</v>
      </c>
      <c r="G21" s="1">
        <f t="shared" si="8"/>
        <v>0.99996756864531999</v>
      </c>
      <c r="H21" s="1">
        <f t="shared" si="9"/>
        <v>1.0000377070314483</v>
      </c>
      <c r="I21">
        <f t="shared" si="4"/>
        <v>4.7778846751640412E-5</v>
      </c>
      <c r="J21">
        <f t="shared" si="5"/>
        <v>1.9962220629113648E-5</v>
      </c>
      <c r="K21">
        <f t="shared" si="6"/>
        <v>1.0369042662587268E-5</v>
      </c>
    </row>
    <row r="22" spans="1:12" x14ac:dyDescent="0.3">
      <c r="A22" s="6" t="s">
        <v>11</v>
      </c>
      <c r="B22" s="6" t="s">
        <v>12</v>
      </c>
      <c r="C22" s="6" t="s">
        <v>13</v>
      </c>
      <c r="E22" s="1">
        <v>11</v>
      </c>
      <c r="F22" s="1">
        <f t="shared" si="7"/>
        <v>1.0000017585589227</v>
      </c>
      <c r="G22" s="1">
        <f t="shared" si="8"/>
        <v>0.99998695138253835</v>
      </c>
      <c r="H22" s="1">
        <f t="shared" si="9"/>
        <v>1.0000088272491383</v>
      </c>
      <c r="I22">
        <f t="shared" si="4"/>
        <v>3.1973742366610328E-6</v>
      </c>
      <c r="J22">
        <f t="shared" si="5"/>
        <v>1.9382990139577745E-5</v>
      </c>
      <c r="K22">
        <f t="shared" si="6"/>
        <v>2.8879527383248535E-5</v>
      </c>
      <c r="L22" s="1"/>
    </row>
    <row r="23" spans="1:12" x14ac:dyDescent="0.3">
      <c r="E23" s="1">
        <v>12</v>
      </c>
      <c r="F23" s="1">
        <f t="shared" si="7"/>
        <v>0.99999859287722559</v>
      </c>
      <c r="G23" s="1">
        <f t="shared" si="8"/>
        <v>0.99999764376992806</v>
      </c>
      <c r="H23" s="1">
        <f t="shared" si="9"/>
        <v>1.0000023828749041</v>
      </c>
      <c r="I23">
        <f t="shared" si="4"/>
        <v>3.1656861516239222E-6</v>
      </c>
      <c r="J23">
        <f t="shared" si="5"/>
        <v>1.0692412583494305E-5</v>
      </c>
      <c r="K23">
        <f t="shared" si="6"/>
        <v>6.4443588781479959E-6</v>
      </c>
      <c r="L23" s="1"/>
    </row>
    <row r="24" spans="1:12" x14ac:dyDescent="0.3">
      <c r="E24" s="1">
        <v>13</v>
      </c>
      <c r="F24" s="1">
        <f t="shared" si="7"/>
        <v>1.0000000088816108</v>
      </c>
      <c r="G24" s="1">
        <f t="shared" si="8"/>
        <v>0.99999873666744055</v>
      </c>
      <c r="H24" s="1">
        <f t="shared" si="9"/>
        <v>1.0000012926189052</v>
      </c>
      <c r="I24">
        <f t="shared" si="4"/>
        <v>1.4160043726143393E-6</v>
      </c>
      <c r="J24">
        <f t="shared" si="5"/>
        <v>1.0928988931838443E-6</v>
      </c>
      <c r="K24">
        <f t="shared" si="6"/>
        <v>1.0902545895309326E-6</v>
      </c>
      <c r="L24" s="1"/>
    </row>
    <row r="25" spans="1:12" x14ac:dyDescent="0.3">
      <c r="E25" s="1">
        <v>14</v>
      </c>
      <c r="F25" s="1">
        <f t="shared" si="7"/>
        <v>1.0000000097621153</v>
      </c>
      <c r="G25" s="1">
        <f t="shared" si="8"/>
        <v>0.99999957208756862</v>
      </c>
      <c r="H25" s="1">
        <f t="shared" si="9"/>
        <v>1.0000003113923344</v>
      </c>
      <c r="I25">
        <f t="shared" si="4"/>
        <v>8.805045495583292E-10</v>
      </c>
      <c r="J25">
        <f t="shared" si="5"/>
        <v>8.3542048556261459E-7</v>
      </c>
      <c r="K25">
        <f t="shared" si="6"/>
        <v>9.8122626533783772E-7</v>
      </c>
      <c r="L25" s="1"/>
    </row>
    <row r="26" spans="1:12" x14ac:dyDescent="0.3">
      <c r="E26" s="1">
        <v>15</v>
      </c>
      <c r="F26" s="1">
        <f>(1+G25+H25)/3</f>
        <v>0.99999996115996781</v>
      </c>
      <c r="G26" s="1">
        <f>(3+F25-H25)/3</f>
        <v>0.99999989945659384</v>
      </c>
      <c r="H26" s="1">
        <f>(7-2*F25-G25)/4</f>
        <v>1.0000001020970501</v>
      </c>
      <c r="I26">
        <f t="shared" si="4"/>
        <v>4.8602149416484722E-8</v>
      </c>
      <c r="J26">
        <f t="shared" si="5"/>
        <v>3.2736905813625803E-7</v>
      </c>
      <c r="K26">
        <f t="shared" si="6"/>
        <v>2.0929526284633213E-7</v>
      </c>
    </row>
    <row r="27" spans="1:12" x14ac:dyDescent="0.3">
      <c r="E27" s="1">
        <v>16</v>
      </c>
      <c r="F27" s="1">
        <f t="shared" ref="F27:F29" si="10">(1+G26+H26)/3</f>
        <v>1.0000000005178815</v>
      </c>
      <c r="G27" s="1">
        <f t="shared" si="8"/>
        <v>0.99999995302097255</v>
      </c>
      <c r="H27" s="1">
        <f t="shared" ref="H27:H29" si="11">(7-2*F26-G26)/4</f>
        <v>1.0000000445558677</v>
      </c>
      <c r="I27">
        <f t="shared" si="4"/>
        <v>3.9357913685523619E-8</v>
      </c>
      <c r="J27">
        <f t="shared" si="5"/>
        <v>5.3564381226693831E-8</v>
      </c>
      <c r="K27">
        <f t="shared" si="6"/>
        <v>5.7541179921668269E-8</v>
      </c>
    </row>
    <row r="28" spans="1:12" x14ac:dyDescent="0.3">
      <c r="E28" s="1">
        <v>17</v>
      </c>
      <c r="F28" s="1">
        <f t="shared" si="10"/>
        <v>0.99999999919228022</v>
      </c>
      <c r="G28" s="1">
        <f t="shared" si="8"/>
        <v>0.99999998532067147</v>
      </c>
      <c r="H28" s="1">
        <f t="shared" si="11"/>
        <v>1.0000000114858161</v>
      </c>
      <c r="I28">
        <f t="shared" si="4"/>
        <v>1.3256012964695405E-9</v>
      </c>
      <c r="J28">
        <f t="shared" si="5"/>
        <v>3.2299699389632341E-8</v>
      </c>
      <c r="K28">
        <f t="shared" si="6"/>
        <v>3.3070051206200626E-8</v>
      </c>
    </row>
    <row r="29" spans="1:12" x14ac:dyDescent="0.3">
      <c r="E29" s="1">
        <v>18</v>
      </c>
      <c r="F29" s="1">
        <f t="shared" si="10"/>
        <v>0.99999999893549596</v>
      </c>
      <c r="G29" s="1">
        <f t="shared" si="8"/>
        <v>0.99999999590215471</v>
      </c>
      <c r="H29" s="1">
        <f t="shared" si="11"/>
        <v>1.0000000040736921</v>
      </c>
      <c r="I29">
        <f t="shared" si="4"/>
        <v>2.5678426079501758E-10</v>
      </c>
      <c r="J29">
        <f t="shared" si="5"/>
        <v>1.0581483288536886E-8</v>
      </c>
      <c r="K29">
        <f t="shared" si="6"/>
        <v>7.4121239954683368E-9</v>
      </c>
    </row>
    <row r="30" spans="1:12" x14ac:dyDescent="0.3">
      <c r="F30" s="1"/>
      <c r="G30" s="1"/>
      <c r="H30" s="1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CA8D-6B5A-4818-B95C-1538F1AF9CD2}">
  <dimension ref="A10:J27"/>
  <sheetViews>
    <sheetView tabSelected="1" workbookViewId="0">
      <selection activeCell="K24" sqref="K24"/>
    </sheetView>
  </sheetViews>
  <sheetFormatPr baseColWidth="10" defaultRowHeight="14.4" x14ac:dyDescent="0.3"/>
  <sheetData>
    <row r="10" spans="1:10" x14ac:dyDescent="0.3">
      <c r="D10" s="4" t="s">
        <v>7</v>
      </c>
      <c r="E10" s="4" t="s">
        <v>8</v>
      </c>
      <c r="F10" s="4" t="s">
        <v>9</v>
      </c>
      <c r="G10" s="4" t="s">
        <v>10</v>
      </c>
      <c r="H10" s="4" t="s">
        <v>14</v>
      </c>
      <c r="I10" s="4" t="s">
        <v>15</v>
      </c>
      <c r="J10" s="4" t="s">
        <v>16</v>
      </c>
    </row>
    <row r="11" spans="1:10" x14ac:dyDescent="0.3">
      <c r="A11" s="2" t="s">
        <v>17</v>
      </c>
      <c r="B11" s="3" t="s">
        <v>2</v>
      </c>
      <c r="D11" s="1">
        <v>0</v>
      </c>
      <c r="E11" s="1">
        <v>0</v>
      </c>
      <c r="F11" s="1">
        <v>0</v>
      </c>
      <c r="G11" s="1">
        <v>0</v>
      </c>
    </row>
    <row r="12" spans="1:10" x14ac:dyDescent="0.3">
      <c r="A12" s="2"/>
      <c r="B12" s="1">
        <v>3</v>
      </c>
      <c r="D12" s="1">
        <v>1</v>
      </c>
      <c r="E12" s="1">
        <f>(1+F11+G11)/3</f>
        <v>0.33333333333333331</v>
      </c>
      <c r="F12" s="1">
        <f>(3+E12-G11)/3</f>
        <v>1.1111111111111112</v>
      </c>
      <c r="G12" s="1">
        <f>(7-2*E12-F12)/4</f>
        <v>1.3055555555555554</v>
      </c>
      <c r="H12">
        <f>ABS((E12-E11)/E12)</f>
        <v>1</v>
      </c>
      <c r="I12">
        <f t="shared" ref="I12:J12" si="0">ABS((F12-F11)/F12)</f>
        <v>1</v>
      </c>
      <c r="J12">
        <f t="shared" si="0"/>
        <v>1</v>
      </c>
    </row>
    <row r="13" spans="1:10" x14ac:dyDescent="0.3">
      <c r="A13" s="2"/>
      <c r="B13" s="1"/>
      <c r="D13" s="1">
        <v>2</v>
      </c>
      <c r="E13" s="1">
        <f t="shared" ref="E13:E16" si="1">(1+F12+G12)/3</f>
        <v>1.1388888888888888</v>
      </c>
      <c r="F13" s="1">
        <f t="shared" ref="F13:F16" si="2">(3+E13-G12)/3</f>
        <v>0.94444444444444464</v>
      </c>
      <c r="G13" s="1">
        <f t="shared" ref="G13:G16" si="3">(7-2*E13-F13)/4</f>
        <v>0.94444444444444442</v>
      </c>
      <c r="H13">
        <f t="shared" ref="H13:H25" si="4">ABS((E13-E12)/E13)</f>
        <v>0.70731707317073178</v>
      </c>
      <c r="I13">
        <f t="shared" ref="I13:I25" si="5">ABS((F13-F12)/F13)</f>
        <v>0.17647058823529393</v>
      </c>
      <c r="J13">
        <f t="shared" ref="J13:J25" si="6">ABS((G13-G12)/G13)</f>
        <v>0.3823529411764704</v>
      </c>
    </row>
    <row r="14" spans="1:10" x14ac:dyDescent="0.3">
      <c r="A14" s="2" t="s">
        <v>3</v>
      </c>
      <c r="B14" s="3" t="s">
        <v>4</v>
      </c>
      <c r="D14" s="1">
        <v>3</v>
      </c>
      <c r="E14" s="1">
        <f t="shared" si="1"/>
        <v>0.96296296296296313</v>
      </c>
      <c r="F14" s="1">
        <f t="shared" si="2"/>
        <v>1.0061728395061731</v>
      </c>
      <c r="G14" s="1">
        <f t="shared" si="3"/>
        <v>1.0169753086419751</v>
      </c>
      <c r="H14">
        <f t="shared" si="4"/>
        <v>0.18269230769230743</v>
      </c>
      <c r="I14">
        <f t="shared" si="5"/>
        <v>6.1349693251533777E-2</v>
      </c>
      <c r="J14">
        <f t="shared" si="6"/>
        <v>7.1320182094081724E-2</v>
      </c>
    </row>
    <row r="15" spans="1:10" x14ac:dyDescent="0.3">
      <c r="A15" s="2"/>
      <c r="B15" s="1">
        <v>3</v>
      </c>
      <c r="D15" s="1">
        <v>4</v>
      </c>
      <c r="E15" s="1">
        <f t="shared" si="1"/>
        <v>1.0077160493827162</v>
      </c>
      <c r="F15" s="1">
        <f t="shared" si="2"/>
        <v>0.99691358024691368</v>
      </c>
      <c r="G15" s="1">
        <f t="shared" si="3"/>
        <v>0.99691358024691357</v>
      </c>
      <c r="H15">
        <f t="shared" si="4"/>
        <v>4.4410413476263372E-2</v>
      </c>
      <c r="I15">
        <f t="shared" si="5"/>
        <v>9.2879256965945796E-3</v>
      </c>
      <c r="J15">
        <f t="shared" si="6"/>
        <v>2.0123839009287683E-2</v>
      </c>
    </row>
    <row r="16" spans="1:10" x14ac:dyDescent="0.3">
      <c r="A16" s="2"/>
      <c r="B16" s="1"/>
      <c r="D16" s="1">
        <v>5</v>
      </c>
      <c r="E16" s="1">
        <f t="shared" si="1"/>
        <v>0.9979423868312759</v>
      </c>
      <c r="F16" s="1">
        <f t="shared" si="2"/>
        <v>1.0003429355281208</v>
      </c>
      <c r="G16" s="1">
        <f t="shared" si="3"/>
        <v>1.0009430727023318</v>
      </c>
      <c r="H16">
        <f t="shared" si="4"/>
        <v>9.7938144329896577E-3</v>
      </c>
      <c r="I16">
        <f t="shared" si="5"/>
        <v>3.4281796366129611E-3</v>
      </c>
      <c r="J16">
        <f t="shared" si="6"/>
        <v>4.025695931477417E-3</v>
      </c>
    </row>
    <row r="17" spans="1:10" x14ac:dyDescent="0.3">
      <c r="A17" s="2" t="s">
        <v>5</v>
      </c>
      <c r="B17" s="3" t="s">
        <v>18</v>
      </c>
      <c r="D17" s="1">
        <v>6</v>
      </c>
      <c r="E17" s="5">
        <f>(1+F16+G16)/3</f>
        <v>1.0004286694101507</v>
      </c>
      <c r="F17" s="5">
        <f>(3+E17-G16)/3</f>
        <v>0.9998285322359397</v>
      </c>
      <c r="G17" s="5">
        <f>(7-2*E17-F17)/4</f>
        <v>0.9998285322359397</v>
      </c>
      <c r="H17">
        <f t="shared" si="4"/>
        <v>2.485217242265505E-3</v>
      </c>
      <c r="I17">
        <f t="shared" si="5"/>
        <v>5.1449151089010957E-4</v>
      </c>
      <c r="J17">
        <f t="shared" si="6"/>
        <v>1.1147316069283117E-3</v>
      </c>
    </row>
    <row r="18" spans="1:10" x14ac:dyDescent="0.3">
      <c r="B18" s="1">
        <v>4</v>
      </c>
      <c r="D18" s="1">
        <v>7</v>
      </c>
      <c r="E18" s="1">
        <f t="shared" ref="E18:E22" si="7">(1+F17+G17)/3</f>
        <v>0.99988568815729317</v>
      </c>
      <c r="F18" s="1">
        <f t="shared" ref="F18:F25" si="8">(3+E18-G17)/3</f>
        <v>1.0000190519737846</v>
      </c>
      <c r="G18" s="1">
        <f t="shared" ref="G18:G22" si="9">(7-2*E18-F18)/4</f>
        <v>1.0000523929279073</v>
      </c>
      <c r="H18">
        <f t="shared" si="4"/>
        <v>5.4304332914118989E-4</v>
      </c>
      <c r="I18">
        <f t="shared" si="5"/>
        <v>1.9051610813699863E-4</v>
      </c>
      <c r="J18">
        <f t="shared" si="6"/>
        <v>2.2384896386493309E-4</v>
      </c>
    </row>
    <row r="19" spans="1:10" x14ac:dyDescent="0.3">
      <c r="D19" s="1">
        <v>8</v>
      </c>
      <c r="E19" s="1">
        <f t="shared" si="7"/>
        <v>1.0000238149672305</v>
      </c>
      <c r="F19" s="1">
        <f t="shared" si="8"/>
        <v>0.9999904740131077</v>
      </c>
      <c r="G19" s="1">
        <f t="shared" si="9"/>
        <v>0.99999047401310792</v>
      </c>
      <c r="H19">
        <f t="shared" si="4"/>
        <v>1.3812352053018491E-4</v>
      </c>
      <c r="I19">
        <f t="shared" si="5"/>
        <v>2.8578232912773124E-5</v>
      </c>
      <c r="J19">
        <f t="shared" si="6"/>
        <v>6.1919504643731128E-5</v>
      </c>
    </row>
    <row r="20" spans="1:10" x14ac:dyDescent="0.3">
      <c r="D20" s="1">
        <v>9</v>
      </c>
      <c r="E20" s="1">
        <f t="shared" si="7"/>
        <v>0.99999364934207191</v>
      </c>
      <c r="F20" s="1">
        <f t="shared" si="8"/>
        <v>1.0000010584429881</v>
      </c>
      <c r="G20" s="1">
        <f t="shared" si="9"/>
        <v>1.0000029107182169</v>
      </c>
      <c r="H20">
        <f t="shared" si="4"/>
        <v>3.0165816731345654E-5</v>
      </c>
      <c r="I20">
        <f t="shared" si="5"/>
        <v>1.058441867744099E-5</v>
      </c>
      <c r="J20">
        <f t="shared" si="6"/>
        <v>1.2436668909337013E-5</v>
      </c>
    </row>
    <row r="21" spans="1:10" x14ac:dyDescent="0.3">
      <c r="D21" s="1">
        <v>10</v>
      </c>
      <c r="E21" s="1">
        <f t="shared" si="7"/>
        <v>1.000001323053735</v>
      </c>
      <c r="F21" s="1">
        <f t="shared" si="8"/>
        <v>0.99999947077850615</v>
      </c>
      <c r="G21" s="1">
        <f t="shared" si="9"/>
        <v>0.99999947077850593</v>
      </c>
      <c r="H21">
        <f t="shared" si="4"/>
        <v>7.6737015103837107E-6</v>
      </c>
      <c r="I21">
        <f t="shared" si="5"/>
        <v>1.5876653222211576E-6</v>
      </c>
      <c r="J21">
        <f t="shared" si="6"/>
        <v>3.4399415314606719E-6</v>
      </c>
    </row>
    <row r="22" spans="1:10" x14ac:dyDescent="0.3">
      <c r="D22" s="1">
        <v>11</v>
      </c>
      <c r="E22" s="1">
        <f t="shared" si="7"/>
        <v>0.99999964718567069</v>
      </c>
      <c r="F22" s="1">
        <f t="shared" si="8"/>
        <v>1.0000000588023883</v>
      </c>
      <c r="G22" s="1">
        <f t="shared" si="9"/>
        <v>1.0000001617065677</v>
      </c>
      <c r="H22">
        <f t="shared" si="4"/>
        <v>1.6758686555918821E-6</v>
      </c>
      <c r="I22">
        <f t="shared" si="5"/>
        <v>5.8802384756486809E-7</v>
      </c>
      <c r="J22">
        <f t="shared" si="6"/>
        <v>6.9092795003637507E-7</v>
      </c>
    </row>
    <row r="23" spans="1:10" x14ac:dyDescent="0.3">
      <c r="D23" s="1">
        <v>12</v>
      </c>
      <c r="E23" s="1">
        <f>(1+F22+G22)/3</f>
        <v>1.0000000735029853</v>
      </c>
      <c r="F23" s="1">
        <f>(3+E23-G22)/3</f>
        <v>0.99999997059880574</v>
      </c>
      <c r="G23" s="1">
        <f>(7-2*E23-F23)/4</f>
        <v>0.99999997059880608</v>
      </c>
      <c r="H23">
        <f t="shared" si="4"/>
        <v>4.2631728322573784E-7</v>
      </c>
      <c r="I23">
        <f t="shared" si="5"/>
        <v>8.8203585142197658E-8</v>
      </c>
      <c r="J23">
        <f t="shared" si="6"/>
        <v>1.9110776723447963E-7</v>
      </c>
    </row>
    <row r="24" spans="1:10" x14ac:dyDescent="0.3">
      <c r="D24" s="1">
        <v>13</v>
      </c>
      <c r="E24" s="1">
        <f t="shared" ref="E24:E25" si="10">(1+F23+G23)/3</f>
        <v>0.9999999803992039</v>
      </c>
      <c r="F24" s="1">
        <f t="shared" si="8"/>
        <v>1.0000000032667993</v>
      </c>
      <c r="G24" s="1">
        <f t="shared" ref="G24:G25" si="11">(7-2*E24-F24)/4</f>
        <v>1.0000000089836982</v>
      </c>
      <c r="H24">
        <f t="shared" si="4"/>
        <v>9.3103783176097506E-8</v>
      </c>
      <c r="I24">
        <f t="shared" si="5"/>
        <v>3.2667993425800478E-8</v>
      </c>
      <c r="J24">
        <f t="shared" si="6"/>
        <v>3.8384891808848395E-8</v>
      </c>
    </row>
    <row r="25" spans="1:10" x14ac:dyDescent="0.3">
      <c r="D25" s="1">
        <v>14</v>
      </c>
      <c r="E25" s="1">
        <f t="shared" si="10"/>
        <v>1.0000000040834991</v>
      </c>
      <c r="F25" s="1">
        <f t="shared" si="8"/>
        <v>0.99999999836660025</v>
      </c>
      <c r="G25" s="1">
        <f t="shared" si="11"/>
        <v>0.99999999836660047</v>
      </c>
      <c r="H25">
        <f t="shared" si="4"/>
        <v>2.3684295095013413E-8</v>
      </c>
      <c r="I25">
        <f t="shared" si="5"/>
        <v>4.9001990323309074E-9</v>
      </c>
      <c r="J25">
        <f t="shared" si="6"/>
        <v>1.061709777385761E-8</v>
      </c>
    </row>
    <row r="26" spans="1:10" x14ac:dyDescent="0.3">
      <c r="D26" s="1"/>
      <c r="E26" s="1"/>
      <c r="F26" s="1"/>
      <c r="G26" s="1"/>
    </row>
    <row r="27" spans="1:10" x14ac:dyDescent="0.3">
      <c r="D27" s="1"/>
      <c r="E27" s="1"/>
      <c r="F27" s="1"/>
      <c r="G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JACOBI</vt:lpstr>
      <vt:lpstr>GAUSS-SEIDEL</vt:lpstr>
    </vt:vector>
  </TitlesOfParts>
  <Company>Coppel S.A. de C.V.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Ramirez Garcia</dc:creator>
  <cp:lastModifiedBy>Daniela Ramirez Garcia</cp:lastModifiedBy>
  <dcterms:created xsi:type="dcterms:W3CDTF">2026-07-14T04:42:55Z</dcterms:created>
  <dcterms:modified xsi:type="dcterms:W3CDTF">2026-07-14T06:08:14Z</dcterms:modified>
</cp:coreProperties>
</file>